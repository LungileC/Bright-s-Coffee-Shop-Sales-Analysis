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lungilec\Downloads\"/>
    </mc:Choice>
  </mc:AlternateContent>
  <xr:revisionPtr revIDLastSave="0" documentId="13_ncr:1_{881E19DA-9E69-4DEF-8366-4F5D735DF4E5}" xr6:coauthVersionLast="47" xr6:coauthVersionMax="47" xr10:uidLastSave="{00000000-0000-0000-0000-000000000000}"/>
  <bookViews>
    <workbookView xWindow="28680" yWindow="-120" windowWidth="29040" windowHeight="15720" xr2:uid="{00000000-000D-0000-FFFF-FFFF00000000}"/>
  </bookViews>
  <sheets>
    <sheet name="Bright Coffee shop" sheetId="11" r:id="rId1"/>
  </sheets>
  <definedNames>
    <definedName name="Display_Week">'Bright Coffee shop'!$Q$2</definedName>
    <definedName name="_xlnm.Print_Titles" localSheetId="0">'Bright Coffee shop'!$4:$6</definedName>
    <definedName name="Project_Start">'Bright Coffee shop'!$Q$1</definedName>
    <definedName name="task_end" localSheetId="0">'Bright Coffee shop'!$F1</definedName>
    <definedName name="task_progress" localSheetId="0">'Bright Coffee shop'!$D1</definedName>
    <definedName name="task_start" localSheetId="0">'Bright Coffee shop'!$E1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H7" i="11"/>
  <c r="F9" i="11" l="1"/>
  <c r="E12" i="11"/>
  <c r="E13" i="11" s="1"/>
  <c r="F12" i="11" l="1"/>
  <c r="F13" i="11" s="1"/>
  <c r="E10" i="11"/>
  <c r="I5" i="11"/>
  <c r="H26" i="11"/>
  <c r="H22" i="11"/>
  <c r="H16" i="11"/>
  <c r="H11" i="11"/>
  <c r="H8" i="11"/>
  <c r="H17" i="11" l="1"/>
  <c r="H18" i="11"/>
  <c r="H9" i="11"/>
  <c r="F10" i="11"/>
  <c r="E14" i="11"/>
  <c r="E15" i="11" s="1"/>
  <c r="I6" i="11"/>
  <c r="H24" i="11" l="1"/>
  <c r="H23" i="11"/>
  <c r="H21" i="11"/>
  <c r="H10" i="11"/>
  <c r="H19" i="11"/>
  <c r="H12" i="11"/>
  <c r="J5" i="11"/>
  <c r="K5" i="11" s="1"/>
  <c r="L5" i="11" s="1"/>
  <c r="M5" i="11" s="1"/>
  <c r="N5" i="11" s="1"/>
  <c r="O5" i="11" s="1"/>
  <c r="P5" i="11" s="1"/>
  <c r="I4" i="11"/>
  <c r="H25" i="11" l="1"/>
  <c r="H20" i="11"/>
  <c r="H13" i="11"/>
  <c r="P4" i="11"/>
  <c r="Q5" i="11"/>
  <c r="R5" i="11" s="1"/>
  <c r="S5" i="11" s="1"/>
  <c r="T5" i="11" s="1"/>
  <c r="U5" i="11" s="1"/>
  <c r="V5" i="11" s="1"/>
  <c r="W5" i="11" s="1"/>
  <c r="J6" i="11"/>
  <c r="F15" i="11" l="1"/>
  <c r="H15" i="11" s="1"/>
  <c r="F14" i="11"/>
  <c r="H14"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<sst xmlns="http://schemas.openxmlformats.org/spreadsheetml/2006/main" count="43" uniqueCount="30">
  <si>
    <t>BRIGHT COFFEE SHOP</t>
  </si>
  <si>
    <t>Project start:</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</si>
  <si>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</si>
  <si>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</si>
  <si>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</si>
  <si>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</si>
  <si>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</si>
  <si>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</si>
  <si>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</si>
  <si>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</si>
  <si>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</si>
  <si>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 xml:space="preserve">PLANNING  </t>
  </si>
  <si>
    <t>Data flow chart</t>
  </si>
  <si>
    <t xml:space="preserve">Lungile Chirwa </t>
  </si>
  <si>
    <t>DATA PROCESSING</t>
  </si>
  <si>
    <t>Testing and validation</t>
  </si>
  <si>
    <t>Proposal and feedback</t>
  </si>
  <si>
    <t>DATA ANALYSIS</t>
  </si>
  <si>
    <t>PRESENTATION AND SUBMISSION</t>
  </si>
  <si>
    <t>Draft PowerPoint presentation</t>
  </si>
  <si>
    <t>Final review &amp; polish</t>
  </si>
  <si>
    <t>SUBMISSION</t>
  </si>
  <si>
    <t>Export Processed data to excel</t>
  </si>
  <si>
    <t xml:space="preserve">Create Pivot Tables </t>
  </si>
  <si>
    <t>Build charts and dashboard</t>
  </si>
  <si>
    <t xml:space="preserve">insights </t>
  </si>
  <si>
    <t>Convert Excel to CSV file</t>
  </si>
  <si>
    <t>Load data into databricks</t>
  </si>
  <si>
    <t xml:space="preserve">SQL Transformation and cleaning </t>
  </si>
  <si>
    <t xml:space="preserve">Create time buckets and calculate 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</si>
</sst>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8"/>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7" fillId="12" borderId="20" xfId="0" applyNumberFormat="1" applyFont="1" applyFill="1" applyBorder="1" applyAlignment="1">
      <alignment horizontal="center" vertical="center"/>
    </xf>
    <xf numFmtId="168" fontId="17" fillId="12" borderId="18" xfId="0" applyNumberFormat="1" applyFont="1" applyFill="1" applyBorder="1" applyAlignment="1">
      <alignment horizontal="center" vertical="center"/>
    </xf>
    <xf numFmtId="168"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5"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5"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5" fillId="4" borderId="5" xfId="12" applyFont="1" applyFill="1" applyBorder="1">
      <alignment horizontal="left" vertical="center" indent="2"/>
    </xf>
    <xf numFmtId="9" fontId="1" fillId="4" borderId="5" xfId="2" applyFont="1" applyFill="1" applyBorder="1" applyAlignment="1">
      <alignment horizontal="center" vertical="center"/>
    </xf>
    <xf numFmtId="165"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5" fontId="15"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9" fontId="1" fillId="5" borderId="8" xfId="2" applyFont="1" applyFill="1" applyBorder="1" applyAlignment="1">
      <alignment horizontal="center" vertical="center"/>
    </xf>
    <xf numFmtId="165"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5" fontId="15"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9" fontId="1" fillId="10" borderId="9" xfId="2" applyFont="1" applyFill="1" applyBorder="1" applyAlignment="1">
      <alignment horizontal="center" vertical="center"/>
    </xf>
    <xf numFmtId="165"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0" borderId="0" xfId="6" applyFont="1" applyAlignment="1">
      <alignment horizontal="left" vertical="center" indent="1"/>
    </xf>
    <xf numFmtId="0" fontId="20" fillId="0" borderId="0" xfId="7" applyFont="1" applyAlignment="1">
      <alignment horizontal="left" vertical="center" indent="1"/>
    </xf>
    <xf numFmtId="167" fontId="15" fillId="2" borderId="13" xfId="0" applyNumberFormat="1" applyFont="1" applyFill="1" applyBorder="1" applyAlignment="1">
      <alignment horizontal="center" vertical="center" wrapText="1"/>
    </xf>
    <xf numFmtId="167" fontId="15" fillId="2" borderId="19"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4" fillId="2" borderId="21" xfId="0" applyFont="1" applyFill="1" applyBorder="1"/>
    <xf numFmtId="16" fontId="21" fillId="0" borderId="0" xfId="0" applyNumberFormat="1" applyFont="1" applyAlignment="1">
      <alignment horizontal="left"/>
    </xf>
    <xf numFmtId="0" fontId="22" fillId="0" borderId="0" xfId="0" applyFont="1"/>
    <xf numFmtId="166" fontId="21" fillId="0" borderId="0" xfId="9" applyFont="1" applyBorder="1" applyAlignment="1">
      <alignment horizontal="left"/>
    </xf>
    <xf numFmtId="0" fontId="20" fillId="0" borderId="0" xfId="8" applyFont="1" applyAlignment="1">
      <alignment horizontal="left"/>
    </xf>
    <xf numFmtId="0" fontId="4" fillId="0" borderId="0" xfId="0" applyFont="1"/>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xf numFmtId="0" fontId="23" fillId="0" borderId="0" xfId="5" applyFont="1" applyAlignment="1">
      <alignment horizontal="left"/>
    </xf>
    <xf numFmtId="0" fontId="15" fillId="5" borderId="7" xfId="11" applyFont="1" applyFill="1" applyBorder="1" applyAlignment="1">
      <alignment vertical="center"/>
    </xf>
    <xf numFmtId="0" fontId="15" fillId="10" borderId="7" xfId="11" applyFont="1" applyFill="1" applyBorder="1" applyAlignment="1">
      <alignment vertical="center"/>
    </xf>
    <xf numFmtId="0" fontId="15" fillId="4" borderId="7" xfId="11" applyFont="1" applyFill="1" applyBorder="1" applyAlignment="1">
      <alignment vertical="center"/>
    </xf>
    <xf numFmtId="165" fontId="15" fillId="4" borderId="7" xfId="10" applyFont="1" applyFill="1" applyBorder="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zoomScaleNormal="100" zoomScalePageLayoutView="70" workbookViewId="0">
      <selection activeCell="F29" sqref="F29"/>
    </sheetView>
  </sheetViews>
  <sheetFormatPr defaultColWidth="8.75" defaultRowHeight="30" customHeight="1" x14ac:dyDescent="0.3"/>
  <cols>
    <col min="1" max="1" width="2.75" style="6" customWidth="1"/>
    <col min="2" max="2" width="34.66406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2">
      <c r="A1" s="7"/>
      <c r="B1" s="96" t="s">
        <v>0</v>
      </c>
      <c r="C1" s="11"/>
      <c r="D1" s="12"/>
      <c r="E1" s="13"/>
      <c r="F1" s="14"/>
      <c r="H1" s="1"/>
      <c r="I1" s="90" t="s">
        <v>1</v>
      </c>
      <c r="J1" s="91"/>
      <c r="K1" s="91"/>
      <c r="L1" s="91"/>
      <c r="M1" s="91"/>
      <c r="N1" s="91"/>
      <c r="O1" s="91"/>
      <c r="P1" s="17"/>
      <c r="Q1" s="89">
        <v>46096</v>
      </c>
      <c r="R1" s="88"/>
      <c r="S1" s="88"/>
      <c r="T1" s="88"/>
      <c r="U1" s="88"/>
      <c r="V1" s="88"/>
      <c r="W1" s="88"/>
      <c r="X1" s="88"/>
      <c r="Y1" s="88"/>
      <c r="Z1" s="88"/>
    </row>
    <row r="2" spans="1:64" ht="30" customHeight="1" x14ac:dyDescent="0.7">
      <c r="B2" s="80"/>
      <c r="C2" s="81"/>
      <c r="D2" s="15"/>
      <c r="E2" s="16"/>
      <c r="F2" s="15"/>
      <c r="I2" s="90" t="s">
        <v>2</v>
      </c>
      <c r="J2" s="91"/>
      <c r="K2" s="91"/>
      <c r="L2" s="91"/>
      <c r="M2" s="91"/>
      <c r="N2" s="91"/>
      <c r="O2" s="91"/>
      <c r="P2" s="17"/>
      <c r="Q2" s="87">
        <v>1</v>
      </c>
      <c r="R2" s="88"/>
      <c r="S2" s="88"/>
      <c r="T2" s="88"/>
      <c r="U2" s="88"/>
      <c r="V2" s="88"/>
      <c r="W2" s="88"/>
      <c r="X2" s="88"/>
      <c r="Y2" s="88"/>
      <c r="Z2" s="88"/>
    </row>
    <row r="3" spans="1:64" s="19" customFormat="1" ht="30" customHeight="1" x14ac:dyDescent="0.3">
      <c r="A3" s="6"/>
      <c r="B3" s="18" t="s">
        <v>3</v>
      </c>
      <c r="D3" s="20"/>
      <c r="E3" s="21"/>
    </row>
    <row r="4" spans="1:64" s="19" customFormat="1" ht="30" customHeight="1" x14ac:dyDescent="0.3">
      <c r="A4" s="7"/>
      <c r="B4" s="22" t="s">
        <v>4</v>
      </c>
      <c r="E4" s="23"/>
      <c r="I4" s="84">
        <f>I5</f>
        <v>46097</v>
      </c>
      <c r="J4" s="82"/>
      <c r="K4" s="82"/>
      <c r="L4" s="82"/>
      <c r="M4" s="82"/>
      <c r="N4" s="82"/>
      <c r="O4" s="82"/>
      <c r="P4" s="82">
        <f>P5</f>
        <v>46104</v>
      </c>
      <c r="Q4" s="82"/>
      <c r="R4" s="82"/>
      <c r="S4" s="82"/>
      <c r="T4" s="82"/>
      <c r="U4" s="82"/>
      <c r="V4" s="82"/>
      <c r="W4" s="82">
        <f>W5</f>
        <v>46111</v>
      </c>
      <c r="X4" s="82"/>
      <c r="Y4" s="82"/>
      <c r="Z4" s="82"/>
      <c r="AA4" s="82"/>
      <c r="AB4" s="82"/>
      <c r="AC4" s="82"/>
      <c r="AD4" s="82">
        <f>AD5</f>
        <v>46118</v>
      </c>
      <c r="AE4" s="82"/>
      <c r="AF4" s="82"/>
      <c r="AG4" s="82"/>
      <c r="AH4" s="82"/>
      <c r="AI4" s="82"/>
      <c r="AJ4" s="82"/>
      <c r="AK4" s="82">
        <f>AK5</f>
        <v>46125</v>
      </c>
      <c r="AL4" s="82"/>
      <c r="AM4" s="82"/>
      <c r="AN4" s="82"/>
      <c r="AO4" s="82"/>
      <c r="AP4" s="82"/>
      <c r="AQ4" s="82"/>
      <c r="AR4" s="82">
        <f>AR5</f>
        <v>46132</v>
      </c>
      <c r="AS4" s="82"/>
      <c r="AT4" s="82"/>
      <c r="AU4" s="82"/>
      <c r="AV4" s="82"/>
      <c r="AW4" s="82"/>
      <c r="AX4" s="82"/>
      <c r="AY4" s="82">
        <f>AY5</f>
        <v>46139</v>
      </c>
      <c r="AZ4" s="82"/>
      <c r="BA4" s="82"/>
      <c r="BB4" s="82"/>
      <c r="BC4" s="82"/>
      <c r="BD4" s="82"/>
      <c r="BE4" s="82"/>
      <c r="BF4" s="82">
        <f>BF5</f>
        <v>46146</v>
      </c>
      <c r="BG4" s="82"/>
      <c r="BH4" s="82"/>
      <c r="BI4" s="82"/>
      <c r="BJ4" s="82"/>
      <c r="BK4" s="82"/>
      <c r="BL4" s="83"/>
    </row>
    <row r="5" spans="1:64" s="19" customFormat="1" ht="15" customHeight="1" x14ac:dyDescent="0.3">
      <c r="A5" s="92"/>
      <c r="B5" s="93" t="s">
        <v>5</v>
      </c>
      <c r="C5" s="95" t="s">
        <v>6</v>
      </c>
      <c r="D5" s="85" t="s">
        <v>7</v>
      </c>
      <c r="E5" s="85" t="s">
        <v>8</v>
      </c>
      <c r="F5" s="85" t="s">
        <v>9</v>
      </c>
      <c r="I5" s="24">
        <f>Project_Start-WEEKDAY(Project_Start,1)+2+7*(Display_Week-1)</f>
        <v>46097</v>
      </c>
      <c r="J5" s="24">
        <f>I5+1</f>
        <v>46098</v>
      </c>
      <c r="K5" s="24">
        <f t="shared" ref="K5:AX5" si="0">J5+1</f>
        <v>46099</v>
      </c>
      <c r="L5" s="24">
        <f t="shared" si="0"/>
        <v>46100</v>
      </c>
      <c r="M5" s="24">
        <f t="shared" si="0"/>
        <v>46101</v>
      </c>
      <c r="N5" s="24">
        <f t="shared" si="0"/>
        <v>46102</v>
      </c>
      <c r="O5" s="25">
        <f t="shared" si="0"/>
        <v>46103</v>
      </c>
      <c r="P5" s="26">
        <f>O5+1</f>
        <v>46104</v>
      </c>
      <c r="Q5" s="24">
        <f>P5+1</f>
        <v>46105</v>
      </c>
      <c r="R5" s="24">
        <f t="shared" si="0"/>
        <v>46106</v>
      </c>
      <c r="S5" s="24">
        <f t="shared" si="0"/>
        <v>46107</v>
      </c>
      <c r="T5" s="24">
        <f t="shared" si="0"/>
        <v>46108</v>
      </c>
      <c r="U5" s="24">
        <f t="shared" si="0"/>
        <v>46109</v>
      </c>
      <c r="V5" s="25">
        <f t="shared" si="0"/>
        <v>46110</v>
      </c>
      <c r="W5" s="26">
        <f>V5+1</f>
        <v>46111</v>
      </c>
      <c r="X5" s="24">
        <f>W5+1</f>
        <v>46112</v>
      </c>
      <c r="Y5" s="24">
        <f t="shared" si="0"/>
        <v>46113</v>
      </c>
      <c r="Z5" s="24">
        <f t="shared" si="0"/>
        <v>46114</v>
      </c>
      <c r="AA5" s="24">
        <f t="shared" si="0"/>
        <v>46115</v>
      </c>
      <c r="AB5" s="24">
        <f t="shared" si="0"/>
        <v>46116</v>
      </c>
      <c r="AC5" s="25">
        <f t="shared" si="0"/>
        <v>46117</v>
      </c>
      <c r="AD5" s="26">
        <f>AC5+1</f>
        <v>46118</v>
      </c>
      <c r="AE5" s="24">
        <f>AD5+1</f>
        <v>46119</v>
      </c>
      <c r="AF5" s="24">
        <f t="shared" si="0"/>
        <v>46120</v>
      </c>
      <c r="AG5" s="24">
        <f t="shared" si="0"/>
        <v>46121</v>
      </c>
      <c r="AH5" s="24">
        <f t="shared" si="0"/>
        <v>46122</v>
      </c>
      <c r="AI5" s="24">
        <f t="shared" si="0"/>
        <v>46123</v>
      </c>
      <c r="AJ5" s="25">
        <f t="shared" si="0"/>
        <v>46124</v>
      </c>
      <c r="AK5" s="26">
        <f>AJ5+1</f>
        <v>46125</v>
      </c>
      <c r="AL5" s="24">
        <f>AK5+1</f>
        <v>46126</v>
      </c>
      <c r="AM5" s="24">
        <f t="shared" si="0"/>
        <v>46127</v>
      </c>
      <c r="AN5" s="24">
        <f t="shared" si="0"/>
        <v>46128</v>
      </c>
      <c r="AO5" s="24">
        <f t="shared" si="0"/>
        <v>46129</v>
      </c>
      <c r="AP5" s="24">
        <f t="shared" si="0"/>
        <v>46130</v>
      </c>
      <c r="AQ5" s="25">
        <f t="shared" si="0"/>
        <v>46131</v>
      </c>
      <c r="AR5" s="26">
        <f>AQ5+1</f>
        <v>46132</v>
      </c>
      <c r="AS5" s="24">
        <f>AR5+1</f>
        <v>46133</v>
      </c>
      <c r="AT5" s="24">
        <f t="shared" si="0"/>
        <v>46134</v>
      </c>
      <c r="AU5" s="24">
        <f t="shared" si="0"/>
        <v>46135</v>
      </c>
      <c r="AV5" s="24">
        <f t="shared" si="0"/>
        <v>46136</v>
      </c>
      <c r="AW5" s="24">
        <f t="shared" si="0"/>
        <v>46137</v>
      </c>
      <c r="AX5" s="25">
        <f t="shared" si="0"/>
        <v>46138</v>
      </c>
      <c r="AY5" s="26">
        <f>AX5+1</f>
        <v>46139</v>
      </c>
      <c r="AZ5" s="24">
        <f>AY5+1</f>
        <v>46140</v>
      </c>
      <c r="BA5" s="24">
        <f t="shared" ref="BA5:BE5" si="1">AZ5+1</f>
        <v>46141</v>
      </c>
      <c r="BB5" s="24">
        <f t="shared" si="1"/>
        <v>46142</v>
      </c>
      <c r="BC5" s="24">
        <f t="shared" si="1"/>
        <v>46143</v>
      </c>
      <c r="BD5" s="24">
        <f t="shared" si="1"/>
        <v>46144</v>
      </c>
      <c r="BE5" s="25">
        <f t="shared" si="1"/>
        <v>46145</v>
      </c>
      <c r="BF5" s="26">
        <f>BE5+1</f>
        <v>46146</v>
      </c>
      <c r="BG5" s="24">
        <f>BF5+1</f>
        <v>46147</v>
      </c>
      <c r="BH5" s="24">
        <f t="shared" ref="BH5:BL5" si="2">BG5+1</f>
        <v>46148</v>
      </c>
      <c r="BI5" s="24">
        <f t="shared" si="2"/>
        <v>46149</v>
      </c>
      <c r="BJ5" s="24">
        <f t="shared" si="2"/>
        <v>46150</v>
      </c>
      <c r="BK5" s="24">
        <f t="shared" si="2"/>
        <v>46151</v>
      </c>
      <c r="BL5" s="24">
        <f t="shared" si="2"/>
        <v>46152</v>
      </c>
    </row>
    <row r="6" spans="1:64" s="19" customFormat="1" ht="15" customHeight="1" thickBot="1" x14ac:dyDescent="0.35">
      <c r="A6" s="92"/>
      <c r="B6" s="94"/>
      <c r="C6" s="86"/>
      <c r="D6" s="86"/>
      <c r="E6" s="86"/>
      <c r="F6" s="86"/>
      <c r="I6" s="27" t="str">
        <f t="shared" ref="I6:AN6" si="3">LEFT(TEXT(I5,"ddd"),1)</f>
        <v>M</v>
      </c>
      <c r="J6" s="28" t="str">
        <f t="shared" si="3"/>
        <v>T</v>
      </c>
      <c r="K6" s="28" t="str">
        <f t="shared" si="3"/>
        <v>W</v>
      </c>
      <c r="L6" s="28" t="str">
        <f t="shared" si="3"/>
        <v>T</v>
      </c>
      <c r="M6" s="28" t="str">
        <f t="shared" si="3"/>
        <v>F</v>
      </c>
      <c r="N6" s="28" t="str">
        <f t="shared" si="3"/>
        <v>S</v>
      </c>
      <c r="O6" s="28" t="str">
        <f t="shared" si="3"/>
        <v>S</v>
      </c>
      <c r="P6" s="28" t="str">
        <f t="shared" si="3"/>
        <v>M</v>
      </c>
      <c r="Q6" s="28" t="str">
        <f t="shared" si="3"/>
        <v>T</v>
      </c>
      <c r="R6" s="28" t="str">
        <f t="shared" si="3"/>
        <v>W</v>
      </c>
      <c r="S6" s="28" t="str">
        <f t="shared" si="3"/>
        <v>T</v>
      </c>
      <c r="T6" s="28" t="str">
        <f t="shared" si="3"/>
        <v>F</v>
      </c>
      <c r="U6" s="28" t="str">
        <f t="shared" si="3"/>
        <v>S</v>
      </c>
      <c r="V6" s="28" t="str">
        <f t="shared" si="3"/>
        <v>S</v>
      </c>
      <c r="W6" s="28" t="str">
        <f t="shared" si="3"/>
        <v>M</v>
      </c>
      <c r="X6" s="28" t="str">
        <f t="shared" si="3"/>
        <v>T</v>
      </c>
      <c r="Y6" s="28" t="str">
        <f t="shared" si="3"/>
        <v>W</v>
      </c>
      <c r="Z6" s="28" t="str">
        <f t="shared" si="3"/>
        <v>T</v>
      </c>
      <c r="AA6" s="28" t="str">
        <f t="shared" si="3"/>
        <v>F</v>
      </c>
      <c r="AB6" s="28" t="str">
        <f t="shared" si="3"/>
        <v>S</v>
      </c>
      <c r="AC6" s="28" t="str">
        <f t="shared" si="3"/>
        <v>S</v>
      </c>
      <c r="AD6" s="28" t="str">
        <f t="shared" si="3"/>
        <v>M</v>
      </c>
      <c r="AE6" s="28" t="str">
        <f t="shared" si="3"/>
        <v>T</v>
      </c>
      <c r="AF6" s="28" t="str">
        <f t="shared" si="3"/>
        <v>W</v>
      </c>
      <c r="AG6" s="28" t="str">
        <f t="shared" si="3"/>
        <v>T</v>
      </c>
      <c r="AH6" s="28" t="str">
        <f t="shared" si="3"/>
        <v>F</v>
      </c>
      <c r="AI6" s="28" t="str">
        <f t="shared" si="3"/>
        <v>S</v>
      </c>
      <c r="AJ6" s="28" t="str">
        <f t="shared" si="3"/>
        <v>S</v>
      </c>
      <c r="AK6" s="28" t="str">
        <f t="shared" si="3"/>
        <v>M</v>
      </c>
      <c r="AL6" s="28" t="str">
        <f t="shared" si="3"/>
        <v>T</v>
      </c>
      <c r="AM6" s="28" t="str">
        <f t="shared" si="3"/>
        <v>W</v>
      </c>
      <c r="AN6" s="28" t="str">
        <f t="shared" si="3"/>
        <v>T</v>
      </c>
      <c r="AO6" s="28" t="str">
        <f t="shared" ref="AO6:BL6" si="4">LEFT(TEXT(AO5,"ddd"),1)</f>
        <v>F</v>
      </c>
      <c r="AP6" s="28" t="str">
        <f t="shared" si="4"/>
        <v>S</v>
      </c>
      <c r="AQ6" s="28" t="str">
        <f t="shared" si="4"/>
        <v>S</v>
      </c>
      <c r="AR6" s="28" t="str">
        <f t="shared" si="4"/>
        <v>M</v>
      </c>
      <c r="AS6" s="28" t="str">
        <f t="shared" si="4"/>
        <v>T</v>
      </c>
      <c r="AT6" s="28" t="str">
        <f t="shared" si="4"/>
        <v>W</v>
      </c>
      <c r="AU6" s="28" t="str">
        <f t="shared" si="4"/>
        <v>T</v>
      </c>
      <c r="AV6" s="28" t="str">
        <f t="shared" si="4"/>
        <v>F</v>
      </c>
      <c r="AW6" s="28" t="str">
        <f t="shared" si="4"/>
        <v>S</v>
      </c>
      <c r="AX6" s="28" t="str">
        <f t="shared" si="4"/>
        <v>S</v>
      </c>
      <c r="AY6" s="28" t="str">
        <f t="shared" si="4"/>
        <v>M</v>
      </c>
      <c r="AZ6" s="28" t="str">
        <f t="shared" si="4"/>
        <v>T</v>
      </c>
      <c r="BA6" s="28" t="str">
        <f t="shared" si="4"/>
        <v>W</v>
      </c>
      <c r="BB6" s="28" t="str">
        <f t="shared" si="4"/>
        <v>T</v>
      </c>
      <c r="BC6" s="28" t="str">
        <f t="shared" si="4"/>
        <v>F</v>
      </c>
      <c r="BD6" s="28" t="str">
        <f t="shared" si="4"/>
        <v>S</v>
      </c>
      <c r="BE6" s="28" t="str">
        <f t="shared" si="4"/>
        <v>S</v>
      </c>
      <c r="BF6" s="28" t="str">
        <f t="shared" si="4"/>
        <v>M</v>
      </c>
      <c r="BG6" s="28" t="str">
        <f t="shared" si="4"/>
        <v>T</v>
      </c>
      <c r="BH6" s="28" t="str">
        <f t="shared" si="4"/>
        <v>W</v>
      </c>
      <c r="BI6" s="28" t="str">
        <f t="shared" si="4"/>
        <v>T</v>
      </c>
      <c r="BJ6" s="28" t="str">
        <f t="shared" si="4"/>
        <v>F</v>
      </c>
      <c r="BK6" s="28" t="str">
        <f t="shared" si="4"/>
        <v>S</v>
      </c>
      <c r="BL6" s="29" t="str">
        <f t="shared" si="4"/>
        <v>S</v>
      </c>
    </row>
    <row r="7" spans="1:64" s="19" customFormat="1" ht="30" hidden="1" customHeight="1" thickBot="1" x14ac:dyDescent="0.35">
      <c r="A7" s="6" t="s">
        <v>10</v>
      </c>
      <c r="B7" s="30"/>
      <c r="C7" s="31"/>
      <c r="D7" s="30"/>
      <c r="E7" s="30"/>
      <c r="F7" s="30"/>
      <c r="H7" s="19" t="str">
        <f>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spans="1:64" s="39" customFormat="1" ht="30" customHeight="1" thickBot="1" x14ac:dyDescent="0.35">
      <c r="A8" s="7"/>
      <c r="B8" s="33" t="s">
        <v>11</v>
      </c>
      <c r="C8" s="34"/>
      <c r="D8" s="35"/>
      <c r="E8" s="36"/>
      <c r="F8" s="37"/>
      <c r="G8" s="10"/>
      <c r="H8" s="5" t="str">
        <f t="shared" ref="H8:H26" si="5">IF(OR(ISBLANK(task_start),ISBLANK(task_end)),"",task_end-task_start+1)</f>
        <v/>
      </c>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row>
    <row r="9" spans="1:64" s="39" customFormat="1" ht="30" customHeight="1" thickBot="1" x14ac:dyDescent="0.35">
      <c r="A9" s="7"/>
      <c r="B9" s="40" t="s">
        <v>12</v>
      </c>
      <c r="C9" s="41" t="s">
        <v>13</v>
      </c>
      <c r="D9" s="42">
        <v>1</v>
      </c>
      <c r="E9" s="43">
        <f>Project_Start</f>
        <v>46096</v>
      </c>
      <c r="F9" s="43">
        <f>E9+2</f>
        <v>46098</v>
      </c>
      <c r="G9" s="10"/>
      <c r="H9" s="5">
        <f t="shared" si="5"/>
        <v>3</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9" customFormat="1" ht="30" customHeight="1" thickBot="1" x14ac:dyDescent="0.35">
      <c r="A10" s="7"/>
      <c r="B10" s="45" t="s">
        <v>16</v>
      </c>
      <c r="C10" s="46" t="s">
        <v>13</v>
      </c>
      <c r="D10" s="47">
        <v>1</v>
      </c>
      <c r="E10" s="48">
        <f>F9</f>
        <v>46098</v>
      </c>
      <c r="F10" s="48">
        <f>E10+2</f>
        <v>46100</v>
      </c>
      <c r="G10" s="10"/>
      <c r="H10" s="5">
        <f t="shared" si="5"/>
        <v>3</v>
      </c>
      <c r="I10" s="44"/>
      <c r="J10" s="44"/>
      <c r="K10" s="44"/>
      <c r="L10" s="44"/>
      <c r="M10" s="44"/>
      <c r="N10" s="44"/>
      <c r="O10" s="44"/>
      <c r="P10" s="44"/>
      <c r="Q10" s="44"/>
      <c r="R10" s="44"/>
      <c r="S10" s="44"/>
      <c r="T10" s="44"/>
      <c r="U10" s="49"/>
      <c r="V10" s="49"/>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9" customFormat="1" ht="30" customHeight="1" thickBot="1" x14ac:dyDescent="0.35">
      <c r="A11" s="7"/>
      <c r="B11" s="50" t="s">
        <v>14</v>
      </c>
      <c r="C11" s="51"/>
      <c r="D11" s="52"/>
      <c r="E11" s="53"/>
      <c r="F11" s="54"/>
      <c r="G11" s="10"/>
      <c r="H11" s="5" t="str">
        <f t="shared" si="5"/>
        <v/>
      </c>
    </row>
    <row r="12" spans="1:64" s="39" customFormat="1" ht="30" customHeight="1" thickBot="1" x14ac:dyDescent="0.35">
      <c r="A12" s="7"/>
      <c r="B12" s="55" t="s">
        <v>26</v>
      </c>
      <c r="C12" s="99" t="s">
        <v>13</v>
      </c>
      <c r="D12" s="56">
        <v>1</v>
      </c>
      <c r="E12" s="100">
        <f>E9+3</f>
        <v>46099</v>
      </c>
      <c r="F12" s="100">
        <f>F9+3</f>
        <v>46101</v>
      </c>
      <c r="G12" s="10"/>
      <c r="H12" s="5">
        <f t="shared" si="5"/>
        <v>3</v>
      </c>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9" customFormat="1" ht="30" customHeight="1" thickBot="1" x14ac:dyDescent="0.35">
      <c r="A13" s="6"/>
      <c r="B13" s="55" t="s">
        <v>27</v>
      </c>
      <c r="C13" s="99" t="s">
        <v>13</v>
      </c>
      <c r="D13" s="56">
        <v>1</v>
      </c>
      <c r="E13" s="57">
        <f>E12</f>
        <v>46099</v>
      </c>
      <c r="F13" s="57">
        <f>F12</f>
        <v>46101</v>
      </c>
      <c r="G13" s="10"/>
      <c r="H13" s="5">
        <f t="shared" si="5"/>
        <v>3</v>
      </c>
      <c r="I13" s="44"/>
      <c r="J13" s="44"/>
      <c r="K13" s="44"/>
      <c r="L13" s="44"/>
      <c r="M13" s="44"/>
      <c r="N13" s="44"/>
      <c r="O13" s="44"/>
      <c r="P13" s="44"/>
      <c r="Q13" s="44"/>
      <c r="R13" s="44"/>
      <c r="S13" s="44"/>
      <c r="T13" s="44"/>
      <c r="U13" s="49"/>
      <c r="V13" s="49"/>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9" customFormat="1" ht="30" customHeight="1" thickBot="1" x14ac:dyDescent="0.35">
      <c r="A14" s="6"/>
      <c r="B14" s="55" t="s">
        <v>28</v>
      </c>
      <c r="C14" s="99" t="s">
        <v>13</v>
      </c>
      <c r="D14" s="56">
        <v>1</v>
      </c>
      <c r="E14" s="57">
        <f>F13</f>
        <v>46101</v>
      </c>
      <c r="F14" s="57">
        <f>E14+1</f>
        <v>46102</v>
      </c>
      <c r="G14" s="10"/>
      <c r="H14" s="5">
        <f t="shared" si="5"/>
        <v>2</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9" customFormat="1" ht="30" customHeight="1" thickBot="1" x14ac:dyDescent="0.35">
      <c r="A15" s="6"/>
      <c r="B15" s="55" t="s">
        <v>29</v>
      </c>
      <c r="C15" s="99" t="s">
        <v>13</v>
      </c>
      <c r="D15" s="56">
        <v>1</v>
      </c>
      <c r="E15" s="57">
        <f>E14</f>
        <v>46101</v>
      </c>
      <c r="F15" s="57">
        <f>E15+2</f>
        <v>46103</v>
      </c>
      <c r="G15" s="10"/>
      <c r="H15" s="5">
        <f t="shared" si="5"/>
        <v>3</v>
      </c>
      <c r="I15" s="44"/>
      <c r="J15" s="44"/>
      <c r="K15" s="44"/>
      <c r="L15" s="44"/>
      <c r="M15" s="44"/>
      <c r="N15" s="44"/>
      <c r="O15" s="44"/>
      <c r="P15" s="44"/>
      <c r="Q15" s="44"/>
      <c r="R15" s="44"/>
      <c r="S15" s="44"/>
      <c r="T15" s="44"/>
      <c r="U15" s="44"/>
      <c r="V15" s="44"/>
      <c r="W15" s="44"/>
      <c r="X15" s="44"/>
      <c r="Y15" s="49"/>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9" customFormat="1" ht="30" customHeight="1" thickBot="1" x14ac:dyDescent="0.35">
      <c r="A16" s="6"/>
      <c r="B16" s="58" t="s">
        <v>17</v>
      </c>
      <c r="C16" s="59"/>
      <c r="D16" s="60"/>
      <c r="E16" s="61"/>
      <c r="F16" s="62"/>
      <c r="G16" s="10"/>
      <c r="H16" s="5" t="str">
        <f t="shared" si="5"/>
        <v/>
      </c>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row>
    <row r="17" spans="1:64" s="39" customFormat="1" ht="30" customHeight="1" thickBot="1" x14ac:dyDescent="0.35">
      <c r="A17" s="6"/>
      <c r="B17" s="64" t="s">
        <v>22</v>
      </c>
      <c r="C17" s="97" t="s">
        <v>13</v>
      </c>
      <c r="D17" s="65">
        <v>1</v>
      </c>
      <c r="E17" s="66">
        <v>46104</v>
      </c>
      <c r="F17" s="66">
        <v>46105</v>
      </c>
      <c r="G17" s="10"/>
      <c r="H17" s="5">
        <f t="shared" si="5"/>
        <v>2</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9" customFormat="1" ht="30" customHeight="1" thickBot="1" x14ac:dyDescent="0.35">
      <c r="A18" s="6"/>
      <c r="B18" s="64" t="s">
        <v>23</v>
      </c>
      <c r="C18" s="97" t="s">
        <v>13</v>
      </c>
      <c r="D18" s="65">
        <v>1</v>
      </c>
      <c r="E18" s="66">
        <v>46105</v>
      </c>
      <c r="F18" s="66">
        <v>46106</v>
      </c>
      <c r="G18" s="10"/>
      <c r="H18" s="5">
        <f t="shared" si="5"/>
        <v>2</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9" customFormat="1" ht="30" customHeight="1" thickBot="1" x14ac:dyDescent="0.35">
      <c r="A19" s="6"/>
      <c r="B19" s="64" t="s">
        <v>24</v>
      </c>
      <c r="C19" s="97" t="s">
        <v>13</v>
      </c>
      <c r="D19" s="65">
        <v>1</v>
      </c>
      <c r="E19" s="66">
        <v>46105</v>
      </c>
      <c r="F19" s="66">
        <v>46107</v>
      </c>
      <c r="G19" s="10"/>
      <c r="H19" s="5">
        <f t="shared" si="5"/>
        <v>3</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9" customFormat="1" ht="30" customHeight="1" thickBot="1" x14ac:dyDescent="0.35">
      <c r="A20" s="6"/>
      <c r="B20" s="64" t="s">
        <v>25</v>
      </c>
      <c r="C20" s="97" t="s">
        <v>13</v>
      </c>
      <c r="D20" s="65">
        <v>1</v>
      </c>
      <c r="E20" s="66">
        <v>46105</v>
      </c>
      <c r="F20" s="66">
        <v>46107</v>
      </c>
      <c r="G20" s="10"/>
      <c r="H20" s="5">
        <f t="shared" si="5"/>
        <v>3</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9" customFormat="1" ht="30" customHeight="1" thickBot="1" x14ac:dyDescent="0.35">
      <c r="A21" s="6"/>
      <c r="B21" s="64" t="s">
        <v>15</v>
      </c>
      <c r="C21" s="97" t="s">
        <v>13</v>
      </c>
      <c r="D21" s="65">
        <v>1</v>
      </c>
      <c r="E21" s="66">
        <v>46105</v>
      </c>
      <c r="F21" s="66">
        <v>46107</v>
      </c>
      <c r="G21" s="10"/>
      <c r="H21" s="5">
        <f t="shared" si="5"/>
        <v>3</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9" customFormat="1" ht="30" customHeight="1" thickBot="1" x14ac:dyDescent="0.35">
      <c r="A22" s="6"/>
      <c r="B22" s="67" t="s">
        <v>18</v>
      </c>
      <c r="C22" s="68"/>
      <c r="D22" s="69"/>
      <c r="E22" s="70"/>
      <c r="F22" s="71"/>
      <c r="G22" s="10"/>
      <c r="H22" s="5" t="str">
        <f t="shared" si="5"/>
        <v/>
      </c>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row>
    <row r="23" spans="1:64" s="39" customFormat="1" ht="30" customHeight="1" thickBot="1" x14ac:dyDescent="0.35">
      <c r="A23" s="6"/>
      <c r="B23" s="73" t="s">
        <v>19</v>
      </c>
      <c r="C23" s="98" t="s">
        <v>13</v>
      </c>
      <c r="D23" s="74">
        <v>1</v>
      </c>
      <c r="E23" s="75">
        <v>46107</v>
      </c>
      <c r="F23" s="75">
        <v>46110</v>
      </c>
      <c r="G23" s="10"/>
      <c r="H23" s="5">
        <f t="shared" si="5"/>
        <v>4</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9" customFormat="1" ht="30" customHeight="1" thickBot="1" x14ac:dyDescent="0.35">
      <c r="A24" s="6"/>
      <c r="B24" s="73" t="s">
        <v>20</v>
      </c>
      <c r="C24" s="98" t="s">
        <v>13</v>
      </c>
      <c r="D24" s="74">
        <v>1</v>
      </c>
      <c r="E24" s="75">
        <v>46107</v>
      </c>
      <c r="F24" s="75">
        <v>46110</v>
      </c>
      <c r="G24" s="10"/>
      <c r="H24" s="5">
        <f t="shared" si="5"/>
        <v>4</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9" customFormat="1" ht="30" customHeight="1" thickBot="1" x14ac:dyDescent="0.35">
      <c r="A25" s="6"/>
      <c r="B25" s="73" t="s">
        <v>21</v>
      </c>
      <c r="C25" s="98" t="s">
        <v>13</v>
      </c>
      <c r="D25" s="74">
        <v>1</v>
      </c>
      <c r="E25" s="75">
        <v>46107</v>
      </c>
      <c r="F25" s="75">
        <v>46110</v>
      </c>
      <c r="G25" s="10"/>
      <c r="H25" s="5">
        <f t="shared" si="5"/>
        <v>4</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9" customFormat="1" ht="30" customHeight="1" thickBot="1" x14ac:dyDescent="0.35">
      <c r="A26" s="6"/>
      <c r="B26" s="76"/>
      <c r="C26" s="77"/>
      <c r="D26" s="78"/>
      <c r="E26" s="79"/>
      <c r="F26" s="79"/>
      <c r="G26" s="10"/>
      <c r="H26" s="5" t="str">
        <f t="shared" si="5"/>
        <v/>
      </c>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row>
    <row r="27" spans="1:64" ht="30" customHeight="1" x14ac:dyDescent="0.3">
      <c r="G27" s="3"/>
    </row>
    <row r="28" spans="1:64" ht="30" customHeight="1" x14ac:dyDescent="0.3">
      <c r="C28" s="9"/>
      <c r="F28" s="8"/>
    </row>
    <row r="29" spans="1:64" ht="30" customHeight="1" x14ac:dyDescent="0.3">
      <c r="C29"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5">
    <cfRule type="expression" dxfId="8" priority="1">
      <formula>AND(TODAY()&gt;=I$5, TODAY()&lt;J$5)</formula>
    </cfRule>
  </conditionalFormatting>
  <conditionalFormatting sqref="I9:BL10">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2:BL15">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7:BL21">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3:BL25">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16" xr:uid="{956902D1-D3B5-416D-BB69-9362D193BC0A}"/>
    <dataValidation allowBlank="1" showInputMessage="1" showErrorMessage="1" prompt="Phase 4's sample block starts in cell B26." sqref="A22" xr:uid="{DE54E5DE-526D-4D71-8D03-E99B4AB2FEE5}"/>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5"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Bright Coffee shop</vt:lpstr>
      <vt:lpstr>Display_Week</vt:lpstr>
      <vt:lpstr>'Bright Coffee shop'!Print_Titles</vt:lpstr>
      <vt:lpstr>Project_Start</vt:lpstr>
      <vt:lpstr>'Bright Coffee shop'!task_end</vt:lpstr>
      <vt:lpstr>'Bright Coffee shop'!task_progress</vt:lpstr>
      <vt:lpstr>'Bright Coffee shop'!task_start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Lungile Chirwa</dc:creator>
  <cp:keywords/>
  <dc:description/>
  <cp:lastModifiedBy>Lungile Chirwa</cp:lastModifiedBy>
  <cp:revision/>
  <dcterms:created xsi:type="dcterms:W3CDTF">2022-03-11T22:41:12Z</dcterms:created>
  <dcterms:modified xsi:type="dcterms:W3CDTF">2026-03-31T21:25:40Z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